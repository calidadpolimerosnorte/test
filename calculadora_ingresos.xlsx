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Escena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<sst xmlns="http://schemas.openxmlformats.org/spreadsheetml/2006/main" count="89" uniqueCount="80">
  <si>
    <t xml:space="preserve">CALCULADORA DE INGRESOS</t>
  </si>
  <si>
    <t xml:space="preserve">Celdas amarillas con texto azul = datos editables. Todo lo demás se calcula solo.</t>
  </si>
  <si>
    <t xml:space="preserve">1. DATOS (EDITABLES)</t>
  </si>
  <si>
    <t xml:space="preserve">Valor</t>
  </si>
  <si>
    <t xml:space="preserve">Nota</t>
  </si>
  <si>
    <t xml:space="preserve">Sueldo básico mensual</t>
  </si>
  <si>
    <t xml:space="preserve">Ejemplo dado por el usuario. Cámbialo por tu sueldo.</t>
  </si>
  <si>
    <t xml:space="preserve">Horas legales por semana</t>
  </si>
  <si>
    <t xml:space="preserve">Jornada ordinaria semanal.</t>
  </si>
  <si>
    <t xml:space="preserve">Horas extra por semana</t>
  </si>
  <si>
    <t xml:space="preserve">57 h trabajadas - 48 h legales = 9 h extra.</t>
  </si>
  <si>
    <t xml:space="preserve">Recargo por hora extra</t>
  </si>
  <si>
    <t xml:space="preserve">25% sobre el valor de la hora normal.</t>
  </si>
  <si>
    <t xml:space="preserve">Descuento AFP</t>
  </si>
  <si>
    <t xml:space="preserve">Porcentaje aplicado sobre el ingreso bruto.</t>
  </si>
  <si>
    <t xml:space="preserve">Días laborables por semana</t>
  </si>
  <si>
    <t xml:space="preserve">48 h / 6 días = 8 h por día.</t>
  </si>
  <si>
    <t xml:space="preserve">Días base del mes (cálculo valor hora)</t>
  </si>
  <si>
    <t xml:space="preserve">Convención usual: sueldo / 30 días / horas diarias.</t>
  </si>
  <si>
    <t xml:space="preserve">Semanas por mes</t>
  </si>
  <si>
    <t xml:space="preserve">52 semanas / 12 meses = 4.3333. Puedes poner 4 si te pagan por 4 semanas.</t>
  </si>
  <si>
    <t xml:space="preserve">Otros ingresos mensuales (bonos, movilidad)</t>
  </si>
  <si>
    <t xml:space="preserve">Opcional. Se suman al bruto y pagan AFP.</t>
  </si>
  <si>
    <t xml:space="preserve">Otros descuentos mensuales</t>
  </si>
  <si>
    <t xml:space="preserve">Opcional (préstamos, adelantos, etc.). Se restan del neto.</t>
  </si>
  <si>
    <t xml:space="preserve">2. VALOR DE LA HORA</t>
  </si>
  <si>
    <t xml:space="preserve">Horas por día (jornada)</t>
  </si>
  <si>
    <t xml:space="preserve">Horas legales semanales / días laborables.</t>
  </si>
  <si>
    <t xml:space="preserve">Pago diario base</t>
  </si>
  <si>
    <t xml:space="preserve">Sueldo / días base del mes.</t>
  </si>
  <si>
    <t xml:space="preserve">Pago por hora normal</t>
  </si>
  <si>
    <t xml:space="preserve">Pago diario / horas por día.</t>
  </si>
  <si>
    <t xml:space="preserve">Pago por hora extra</t>
  </si>
  <si>
    <t xml:space="preserve">Hora normal × (1 + recargo).</t>
  </si>
  <si>
    <t xml:space="preserve">Ganancia adicional por cada hora extra</t>
  </si>
  <si>
    <t xml:space="preserve">Lo que suma el recargo por hora.</t>
  </si>
  <si>
    <t xml:space="preserve">3. RESULTADO SEMANAL</t>
  </si>
  <si>
    <t xml:space="preserve">Horas totales trabajadas por semana</t>
  </si>
  <si>
    <t xml:space="preserve">Legales + extra.</t>
  </si>
  <si>
    <t xml:space="preserve">Pago semanal base</t>
  </si>
  <si>
    <t xml:space="preserve">Sueldo mensual / semanas por mes.</t>
  </si>
  <si>
    <t xml:space="preserve">Pago semanal por horas extra</t>
  </si>
  <si>
    <t xml:space="preserve">Horas extra × pago por hora extra.</t>
  </si>
  <si>
    <t xml:space="preserve">Bruto semanal</t>
  </si>
  <si>
    <t xml:space="preserve">Base + extras + otros ingresos prorrateados.</t>
  </si>
  <si>
    <t xml:space="preserve">AFP semanal</t>
  </si>
  <si>
    <t xml:space="preserve">Neto semanal</t>
  </si>
  <si>
    <t xml:space="preserve">Bruto - AFP - otros descuentos prorrateados.</t>
  </si>
  <si>
    <t xml:space="preserve">4. RESULTADO MENSUAL</t>
  </si>
  <si>
    <t xml:space="preserve">Sueldo básico</t>
  </si>
  <si>
    <t xml:space="preserve">Horas extra en el mes</t>
  </si>
  <si>
    <t xml:space="preserve">Horas extra semanales × semanas por mes.</t>
  </si>
  <si>
    <t xml:space="preserve">Pago por horas extra (mes)</t>
  </si>
  <si>
    <t xml:space="preserve">Otros ingresos</t>
  </si>
  <si>
    <t xml:space="preserve">INGRESO BRUTO MENSUAL</t>
  </si>
  <si>
    <t xml:space="preserve">Bruto × % AFP (se muestra en negativo).</t>
  </si>
  <si>
    <t xml:space="preserve">Otros descuentos</t>
  </si>
  <si>
    <t xml:space="preserve">INGRESO NETO MENSUAL</t>
  </si>
  <si>
    <t xml:space="preserve">Lo que recibes en mano.</t>
  </si>
  <si>
    <t xml:space="preserve">5. OTROS RESULTADOS</t>
  </si>
  <si>
    <t xml:space="preserve">Neto por día (calendario, /30)</t>
  </si>
  <si>
    <t xml:space="preserve">Neto mensual / días base.</t>
  </si>
  <si>
    <t xml:space="preserve">Neto por día trabajado</t>
  </si>
  <si>
    <t xml:space="preserve">Neto mensual / días laborados en el mes.</t>
  </si>
  <si>
    <t xml:space="preserve">Neto por hora trabajada real</t>
  </si>
  <si>
    <t xml:space="preserve">Neto mensual / todas las horas trabajadas (incluye extras).</t>
  </si>
  <si>
    <t xml:space="preserve">Bruto por hora trabajada real</t>
  </si>
  <si>
    <t xml:space="preserve">Ingreso bruto anual (12 meses)</t>
  </si>
  <si>
    <t xml:space="preserve">No incluye gratificaciones, CTS ni utilidades.</t>
  </si>
  <si>
    <t xml:space="preserve">AFP anual</t>
  </si>
  <si>
    <t xml:space="preserve">Ingreso neto anual (12 meses)</t>
  </si>
  <si>
    <t xml:space="preserve">% del bruto que viene de horas extra</t>
  </si>
  <si>
    <t xml:space="preserve">¿CUÁNTO GANO SEGÚN LAS HORAS EXTRA?</t>
  </si>
  <si>
    <t xml:space="preserve">Usa los datos de la hoja Calculadora. Puedes cambiar las horas extra de la columna A (azul).</t>
  </si>
  <si>
    <t xml:space="preserve">Horas extra / semana</t>
  </si>
  <si>
    <t xml:space="preserve">Horas totales / semana</t>
  </si>
  <si>
    <t xml:space="preserve">Pago extra mensual</t>
  </si>
  <si>
    <t xml:space="preserve">Bruto mensual</t>
  </si>
  <si>
    <t xml:space="preserve">AFP mensual</t>
  </si>
  <si>
    <t xml:space="preserve">Neto mensual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</si>
</sst>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S/ &quot;#,##0.00;&quot;-S/ &quot;#,##0.00;\-"/>
    <numFmt numFmtId="166" formatCode="#,##0.00"/>
    <numFmt numFmtId="167" formatCode="0.0%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2350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48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v>9</v>
      </c>
      <c r="C7" s="6" t="s">
        <v>10</v>
      </c>
    </row>
    <row r="8" customFormat="false" ht="15" hidden="false" customHeight="false" outlineLevel="0" collapsed="false">
      <c r="A8" s="4" t="s">
        <v>11</v>
      </c>
      <c r="B8" s="8" t="n">
        <v>0.25</v>
      </c>
      <c r="C8" s="6" t="s">
        <v>12</v>
      </c>
    </row>
    <row r="9" customFormat="false" ht="15" hidden="false" customHeight="false" outlineLevel="0" collapsed="false">
      <c r="A9" s="4" t="s">
        <v>13</v>
      </c>
      <c r="B9" s="8" t="n">
        <v>0.12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7" t="n">
        <v>6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7" t="n">
        <v>30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9" t="n">
        <f aca="false">52/12</f>
        <v>4.33333333333333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5" t="n">
        <v>0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5" t="n">
        <v>0</v>
      </c>
      <c r="C14" s="6" t="s">
        <v>24</v>
      </c>
    </row>
    <row r="16" customFormat="false" ht="15" hidden="false" customHeight="false" outlineLevel="0" collapsed="false">
      <c r="A16" s="3" t="s">
        <v>25</v>
      </c>
      <c r="B16" s="3" t="s">
        <v>3</v>
      </c>
      <c r="C16" s="3" t="s">
        <v>4</v>
      </c>
    </row>
    <row r="17" customFormat="false" ht="15" hidden="false" customHeight="false" outlineLevel="0" collapsed="false">
      <c r="A17" s="4" t="s">
        <v>26</v>
      </c>
      <c r="B17" s="10" t="n">
        <f aca="false">B6/B10</f>
        <v>8</v>
      </c>
      <c r="C17" s="6" t="s">
        <v>27</v>
      </c>
    </row>
    <row r="18" customFormat="false" ht="15" hidden="false" customHeight="false" outlineLevel="0" collapsed="false">
      <c r="A18" s="4" t="s">
        <v>28</v>
      </c>
      <c r="B18" s="11" t="n">
        <f aca="false">B5/B11</f>
        <v>78.3333333333333</v>
      </c>
      <c r="C18" s="6" t="s">
        <v>29</v>
      </c>
    </row>
    <row r="19" customFormat="false" ht="15" hidden="false" customHeight="false" outlineLevel="0" collapsed="false">
      <c r="A19" s="12" t="s">
        <v>30</v>
      </c>
      <c r="B19" s="13" t="n">
        <f aca="false">IFERROR(B18/B17,0)</f>
        <v>9.79166666666667</v>
      </c>
      <c r="C19" s="6" t="s">
        <v>31</v>
      </c>
    </row>
    <row r="20" customFormat="false" ht="15" hidden="false" customHeight="false" outlineLevel="0" collapsed="false">
      <c r="A20" s="12" t="s">
        <v>32</v>
      </c>
      <c r="B20" s="13" t="n">
        <f aca="false">B19*(1+B8)</f>
        <v>12.2395833333333</v>
      </c>
      <c r="C20" s="6" t="s">
        <v>33</v>
      </c>
    </row>
    <row r="21" customFormat="false" ht="15" hidden="false" customHeight="false" outlineLevel="0" collapsed="false">
      <c r="A21" s="4" t="s">
        <v>34</v>
      </c>
      <c r="B21" s="11" t="n">
        <f aca="false">B20-B19</f>
        <v>2.44791666666667</v>
      </c>
      <c r="C21" s="6" t="s">
        <v>35</v>
      </c>
    </row>
    <row r="23" customFormat="false" ht="15" hidden="false" customHeight="false" outlineLevel="0" collapsed="false">
      <c r="A23" s="3" t="s">
        <v>36</v>
      </c>
      <c r="B23" s="3" t="s">
        <v>3</v>
      </c>
      <c r="C23" s="3" t="s">
        <v>4</v>
      </c>
    </row>
    <row r="24" customFormat="false" ht="15" hidden="false" customHeight="false" outlineLevel="0" collapsed="false">
      <c r="A24" s="4" t="s">
        <v>37</v>
      </c>
      <c r="B24" s="10" t="n">
        <f aca="false">B6+B7</f>
        <v>57</v>
      </c>
      <c r="C24" s="6" t="s">
        <v>38</v>
      </c>
    </row>
    <row r="25" customFormat="false" ht="15" hidden="false" customHeight="false" outlineLevel="0" collapsed="false">
      <c r="A25" s="4" t="s">
        <v>39</v>
      </c>
      <c r="B25" s="11" t="n">
        <f aca="false">B5/B12</f>
        <v>542.307692307692</v>
      </c>
      <c r="C25" s="6" t="s">
        <v>40</v>
      </c>
    </row>
    <row r="26" customFormat="false" ht="15" hidden="false" customHeight="false" outlineLevel="0" collapsed="false">
      <c r="A26" s="4" t="s">
        <v>41</v>
      </c>
      <c r="B26" s="11" t="n">
        <f aca="false">B7*B20</f>
        <v>110.15625</v>
      </c>
      <c r="C26" s="6" t="s">
        <v>42</v>
      </c>
    </row>
    <row r="27" customFormat="false" ht="15" hidden="false" customHeight="false" outlineLevel="0" collapsed="false">
      <c r="A27" s="4" t="s">
        <v>43</v>
      </c>
      <c r="B27" s="11" t="n">
        <f aca="false">B25+B26+B13/B12</f>
        <v>652.463942307692</v>
      </c>
      <c r="C27" s="6" t="s">
        <v>44</v>
      </c>
    </row>
    <row r="28" customFormat="false" ht="15" hidden="false" customHeight="false" outlineLevel="0" collapsed="false">
      <c r="A28" s="4" t="s">
        <v>45</v>
      </c>
      <c r="B28" s="11" t="n">
        <f aca="false">B27*B9</f>
        <v>78.2956730769231</v>
      </c>
      <c r="C28" s="6"/>
    </row>
    <row r="29" customFormat="false" ht="15" hidden="false" customHeight="false" outlineLevel="0" collapsed="false">
      <c r="A29" s="12" t="s">
        <v>46</v>
      </c>
      <c r="B29" s="13" t="n">
        <f aca="false">B27-B28-B14/B12</f>
        <v>574.168269230769</v>
      </c>
      <c r="C29" s="6" t="s">
        <v>47</v>
      </c>
    </row>
    <row r="31" customFormat="false" ht="15" hidden="false" customHeight="false" outlineLevel="0" collapsed="false">
      <c r="A31" s="3" t="s">
        <v>48</v>
      </c>
      <c r="B31" s="3" t="s">
        <v>3</v>
      </c>
      <c r="C31" s="3" t="s">
        <v>4</v>
      </c>
    </row>
    <row r="32" customFormat="false" ht="15" hidden="false" customHeight="false" outlineLevel="0" collapsed="false">
      <c r="A32" s="4" t="s">
        <v>49</v>
      </c>
      <c r="B32" s="11" t="n">
        <f aca="false">B5</f>
        <v>2350</v>
      </c>
      <c r="C32" s="6"/>
    </row>
    <row r="33" customFormat="false" ht="15" hidden="false" customHeight="false" outlineLevel="0" collapsed="false">
      <c r="A33" s="4" t="s">
        <v>50</v>
      </c>
      <c r="B33" s="10" t="n">
        <f aca="false">B7*B12</f>
        <v>39</v>
      </c>
      <c r="C33" s="6" t="s">
        <v>51</v>
      </c>
    </row>
    <row r="34" customFormat="false" ht="15" hidden="false" customHeight="false" outlineLevel="0" collapsed="false">
      <c r="A34" s="4" t="s">
        <v>52</v>
      </c>
      <c r="B34" s="11" t="n">
        <f aca="false">B33*B20</f>
        <v>477.34375</v>
      </c>
      <c r="C34" s="6"/>
    </row>
    <row r="35" customFormat="false" ht="15" hidden="false" customHeight="false" outlineLevel="0" collapsed="false">
      <c r="A35" s="4" t="s">
        <v>53</v>
      </c>
      <c r="B35" s="11" t="n">
        <f aca="false">B13</f>
        <v>0</v>
      </c>
      <c r="C35" s="6"/>
    </row>
    <row r="36" customFormat="false" ht="15" hidden="false" customHeight="false" outlineLevel="0" collapsed="false">
      <c r="A36" s="12" t="s">
        <v>54</v>
      </c>
      <c r="B36" s="13" t="n">
        <f aca="false">B32+B34+B35</f>
        <v>2827.34375</v>
      </c>
      <c r="C36" s="6"/>
    </row>
    <row r="37" customFormat="false" ht="15" hidden="false" customHeight="false" outlineLevel="0" collapsed="false">
      <c r="A37" s="4" t="s">
        <v>13</v>
      </c>
      <c r="B37" s="11" t="n">
        <f aca="false">-B36*B9</f>
        <v>-339.28125</v>
      </c>
      <c r="C37" s="6" t="s">
        <v>55</v>
      </c>
    </row>
    <row r="38" customFormat="false" ht="15" hidden="false" customHeight="false" outlineLevel="0" collapsed="false">
      <c r="A38" s="4" t="s">
        <v>56</v>
      </c>
      <c r="B38" s="11" t="n">
        <f aca="false">-B14</f>
        <v>-0</v>
      </c>
      <c r="C38" s="6"/>
    </row>
    <row r="39" customFormat="false" ht="15" hidden="false" customHeight="false" outlineLevel="0" collapsed="false">
      <c r="A39" s="12" t="s">
        <v>57</v>
      </c>
      <c r="B39" s="13" t="n">
        <f aca="false">B36+B37+B38</f>
        <v>2488.0625</v>
      </c>
      <c r="C39" s="6" t="s">
        <v>58</v>
      </c>
    </row>
    <row r="41" customFormat="false" ht="15" hidden="false" customHeight="false" outlineLevel="0" collapsed="false">
      <c r="A41" s="3" t="s">
        <v>59</v>
      </c>
      <c r="B41" s="3" t="s">
        <v>3</v>
      </c>
      <c r="C41" s="3" t="s">
        <v>4</v>
      </c>
    </row>
    <row r="42" customFormat="false" ht="15" hidden="false" customHeight="false" outlineLevel="0" collapsed="false">
      <c r="A42" s="4" t="s">
        <v>60</v>
      </c>
      <c r="B42" s="11" t="n">
        <f aca="false">B39/B11</f>
        <v>82.9354166666667</v>
      </c>
      <c r="C42" s="6" t="s">
        <v>61</v>
      </c>
    </row>
    <row r="43" customFormat="false" ht="15" hidden="false" customHeight="false" outlineLevel="0" collapsed="false">
      <c r="A43" s="4" t="s">
        <v>62</v>
      </c>
      <c r="B43" s="11" t="n">
        <f aca="false">B39/(B10*B12)</f>
        <v>95.6947115384615</v>
      </c>
      <c r="C43" s="6" t="s">
        <v>63</v>
      </c>
    </row>
    <row r="44" customFormat="false" ht="15" hidden="false" customHeight="false" outlineLevel="0" collapsed="false">
      <c r="A44" s="4" t="s">
        <v>64</v>
      </c>
      <c r="B44" s="11" t="n">
        <f aca="false">B39/(B24*B12)</f>
        <v>10.0731275303644</v>
      </c>
      <c r="C44" s="6" t="s">
        <v>65</v>
      </c>
    </row>
    <row r="45" customFormat="false" ht="15" hidden="false" customHeight="false" outlineLevel="0" collapsed="false">
      <c r="A45" s="4" t="s">
        <v>66</v>
      </c>
      <c r="B45" s="11" t="n">
        <f aca="false">B36/(B24*B12)</f>
        <v>11.4467358299595</v>
      </c>
      <c r="C45" s="6"/>
    </row>
    <row r="46" customFormat="false" ht="15" hidden="false" customHeight="false" outlineLevel="0" collapsed="false">
      <c r="A46" s="4" t="s">
        <v>67</v>
      </c>
      <c r="B46" s="11" t="n">
        <f aca="false">B36*12</f>
        <v>33928.125</v>
      </c>
      <c r="C46" s="6" t="s">
        <v>68</v>
      </c>
    </row>
    <row r="47" customFormat="false" ht="15" hidden="false" customHeight="false" outlineLevel="0" collapsed="false">
      <c r="A47" s="4" t="s">
        <v>69</v>
      </c>
      <c r="B47" s="11" t="n">
        <f aca="false">-B37*12</f>
        <v>4071.375</v>
      </c>
      <c r="C47" s="6"/>
    </row>
    <row r="48" customFormat="false" ht="15" hidden="false" customHeight="false" outlineLevel="0" collapsed="false">
      <c r="A48" s="12" t="s">
        <v>70</v>
      </c>
      <c r="B48" s="13" t="n">
        <f aca="false">B39*12</f>
        <v>29856.75</v>
      </c>
      <c r="C48" s="6"/>
    </row>
    <row r="49" customFormat="false" ht="15" hidden="false" customHeight="false" outlineLevel="0" collapsed="false">
      <c r="A49" s="4" t="s">
        <v>71</v>
      </c>
      <c r="B49" s="14" t="n">
        <f aca="false">IFERROR(B34/B36,0)</f>
        <v>0.168831168831169</v>
      </c>
      <c r="C49" s="6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72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5" t="s">
        <v>73</v>
      </c>
    </row>
    <row r="4" customFormat="false" ht="26.85" hidden="false" customHeight="false" outlineLevel="0" collapsed="false">
      <c r="A4" s="16" t="s">
        <v>74</v>
      </c>
      <c r="B4" s="16" t="s">
        <v>75</v>
      </c>
      <c r="C4" s="16" t="s">
        <v>76</v>
      </c>
      <c r="D4" s="16" t="s">
        <v>77</v>
      </c>
      <c r="E4" s="16" t="s">
        <v>78</v>
      </c>
      <c r="F4" s="16" t="s">
        <v>79</v>
      </c>
    </row>
    <row r="5" customFormat="false" ht="15" hidden="false" customHeight="false" outlineLevel="0" collapsed="false">
      <c r="A5" s="17" t="n">
        <v>0</v>
      </c>
      <c r="B5" s="18" t="n">
        <f aca="false">Calculadora!$B$6+A5</f>
        <v>48</v>
      </c>
      <c r="C5" s="19" t="n">
        <f aca="false">A5*Calculadora!$B$12*Calculadora!$B$20</f>
        <v>0</v>
      </c>
      <c r="D5" s="19" t="n">
        <f aca="false">Calculadora!$B$5+C5+Calculadora!$B$13</f>
        <v>2350</v>
      </c>
      <c r="E5" s="19" t="n">
        <f aca="false">-D5*Calculadora!$B$9</f>
        <v>-282</v>
      </c>
      <c r="F5" s="20" t="n">
        <f aca="false">D5+E5-Calculadora!$B$14</f>
        <v>2068</v>
      </c>
    </row>
    <row r="6" customFormat="false" ht="15" hidden="false" customHeight="false" outlineLevel="0" collapsed="false">
      <c r="A6" s="17" t="n">
        <v>1</v>
      </c>
      <c r="B6" s="18" t="n">
        <f aca="false">Calculadora!$B$6+A6</f>
        <v>49</v>
      </c>
      <c r="C6" s="19" t="n">
        <f aca="false">A6*Calculadora!$B$12*Calculadora!$B$20</f>
        <v>53.0381944444444</v>
      </c>
      <c r="D6" s="19" t="n">
        <f aca="false">Calculadora!$B$5+C6+Calculadora!$B$13</f>
        <v>2403.03819444444</v>
      </c>
      <c r="E6" s="19" t="n">
        <f aca="false">-D6*Calculadora!$B$9</f>
        <v>-288.364583333333</v>
      </c>
      <c r="F6" s="20" t="n">
        <f aca="false">D6+E6-Calculadora!$B$14</f>
        <v>2114.67361111111</v>
      </c>
    </row>
    <row r="7" customFormat="false" ht="15" hidden="false" customHeight="false" outlineLevel="0" collapsed="false">
      <c r="A7" s="17" t="n">
        <v>2</v>
      </c>
      <c r="B7" s="18" t="n">
        <f aca="false">Calculadora!$B$6+A7</f>
        <v>50</v>
      </c>
      <c r="C7" s="19" t="n">
        <f aca="false">A7*Calculadora!$B$12*Calculadora!$B$20</f>
        <v>106.076388888889</v>
      </c>
      <c r="D7" s="19" t="n">
        <f aca="false">Calculadora!$B$5+C7+Calculadora!$B$13</f>
        <v>2456.07638888889</v>
      </c>
      <c r="E7" s="19" t="n">
        <f aca="false">-D7*Calculadora!$B$9</f>
        <v>-294.729166666667</v>
      </c>
      <c r="F7" s="20" t="n">
        <f aca="false">D7+E7-Calculadora!$B$14</f>
        <v>2161.34722222222</v>
      </c>
    </row>
    <row r="8" customFormat="false" ht="15" hidden="false" customHeight="false" outlineLevel="0" collapsed="false">
      <c r="A8" s="17" t="n">
        <v>3</v>
      </c>
      <c r="B8" s="18" t="n">
        <f aca="false">Calculadora!$B$6+A8</f>
        <v>51</v>
      </c>
      <c r="C8" s="19" t="n">
        <f aca="false">A8*Calculadora!$B$12*Calculadora!$B$20</f>
        <v>159.114583333333</v>
      </c>
      <c r="D8" s="19" t="n">
        <f aca="false">Calculadora!$B$5+C8+Calculadora!$B$13</f>
        <v>2509.11458333333</v>
      </c>
      <c r="E8" s="19" t="n">
        <f aca="false">-D8*Calculadora!$B$9</f>
        <v>-301.09375</v>
      </c>
      <c r="F8" s="20" t="n">
        <f aca="false">D8+E8-Calculadora!$B$14</f>
        <v>2208.02083333333</v>
      </c>
    </row>
    <row r="9" customFormat="false" ht="15" hidden="false" customHeight="false" outlineLevel="0" collapsed="false">
      <c r="A9" s="17" t="n">
        <v>4</v>
      </c>
      <c r="B9" s="18" t="n">
        <f aca="false">Calculadora!$B$6+A9</f>
        <v>52</v>
      </c>
      <c r="C9" s="19" t="n">
        <f aca="false">A9*Calculadora!$B$12*Calculadora!$B$20</f>
        <v>212.152777777778</v>
      </c>
      <c r="D9" s="19" t="n">
        <f aca="false">Calculadora!$B$5+C9+Calculadora!$B$13</f>
        <v>2562.15277777778</v>
      </c>
      <c r="E9" s="19" t="n">
        <f aca="false">-D9*Calculadora!$B$9</f>
        <v>-307.458333333333</v>
      </c>
      <c r="F9" s="20" t="n">
        <f aca="false">D9+E9-Calculadora!$B$14</f>
        <v>2254.69444444444</v>
      </c>
    </row>
    <row r="10" customFormat="false" ht="15" hidden="false" customHeight="false" outlineLevel="0" collapsed="false">
      <c r="A10" s="17" t="n">
        <v>5</v>
      </c>
      <c r="B10" s="18" t="n">
        <f aca="false">Calculadora!$B$6+A10</f>
        <v>53</v>
      </c>
      <c r="C10" s="19" t="n">
        <f aca="false">A10*Calculadora!$B$12*Calculadora!$B$20</f>
        <v>265.190972222222</v>
      </c>
      <c r="D10" s="19" t="n">
        <f aca="false">Calculadora!$B$5+C10+Calculadora!$B$13</f>
        <v>2615.19097222222</v>
      </c>
      <c r="E10" s="19" t="n">
        <f aca="false">-D10*Calculadora!$B$9</f>
        <v>-313.822916666667</v>
      </c>
      <c r="F10" s="20" t="n">
        <f aca="false">D10+E10-Calculadora!$B$14</f>
        <v>2301.36805555556</v>
      </c>
    </row>
    <row r="11" customFormat="false" ht="15" hidden="false" customHeight="false" outlineLevel="0" collapsed="false">
      <c r="A11" s="17" t="n">
        <v>6</v>
      </c>
      <c r="B11" s="18" t="n">
        <f aca="false">Calculadora!$B$6+A11</f>
        <v>54</v>
      </c>
      <c r="C11" s="19" t="n">
        <f aca="false">A11*Calculadora!$B$12*Calculadora!$B$20</f>
        <v>318.229166666667</v>
      </c>
      <c r="D11" s="19" t="n">
        <f aca="false">Calculadora!$B$5+C11+Calculadora!$B$13</f>
        <v>2668.22916666667</v>
      </c>
      <c r="E11" s="19" t="n">
        <f aca="false">-D11*Calculadora!$B$9</f>
        <v>-320.1875</v>
      </c>
      <c r="F11" s="20" t="n">
        <f aca="false">D11+E11-Calculadora!$B$14</f>
        <v>2348.04166666667</v>
      </c>
    </row>
    <row r="12" customFormat="false" ht="15" hidden="false" customHeight="false" outlineLevel="0" collapsed="false">
      <c r="A12" s="17" t="n">
        <v>7</v>
      </c>
      <c r="B12" s="18" t="n">
        <f aca="false">Calculadora!$B$6+A12</f>
        <v>55</v>
      </c>
      <c r="C12" s="19" t="n">
        <f aca="false">A12*Calculadora!$B$12*Calculadora!$B$20</f>
        <v>371.267361111111</v>
      </c>
      <c r="D12" s="19" t="n">
        <f aca="false">Calculadora!$B$5+C12+Calculadora!$B$13</f>
        <v>2721.26736111111</v>
      </c>
      <c r="E12" s="19" t="n">
        <f aca="false">-D12*Calculadora!$B$9</f>
        <v>-326.552083333333</v>
      </c>
      <c r="F12" s="20" t="n">
        <f aca="false">D12+E12-Calculadora!$B$14</f>
        <v>2394.71527777778</v>
      </c>
    </row>
    <row r="13" customFormat="false" ht="15" hidden="false" customHeight="false" outlineLevel="0" collapsed="false">
      <c r="A13" s="17" t="n">
        <v>8</v>
      </c>
      <c r="B13" s="18" t="n">
        <f aca="false">Calculadora!$B$6+A13</f>
        <v>56</v>
      </c>
      <c r="C13" s="19" t="n">
        <f aca="false">A13*Calculadora!$B$12*Calculadora!$B$20</f>
        <v>424.305555555556</v>
      </c>
      <c r="D13" s="19" t="n">
        <f aca="false">Calculadora!$B$5+C13+Calculadora!$B$13</f>
        <v>2774.30555555556</v>
      </c>
      <c r="E13" s="19" t="n">
        <f aca="false">-D13*Calculadora!$B$9</f>
        <v>-332.916666666667</v>
      </c>
      <c r="F13" s="20" t="n">
        <f aca="false">D13+E13-Calculadora!$B$14</f>
        <v>2441.38888888889</v>
      </c>
    </row>
    <row r="14" customFormat="false" ht="15" hidden="false" customHeight="false" outlineLevel="0" collapsed="false">
      <c r="A14" s="17" t="n">
        <v>9</v>
      </c>
      <c r="B14" s="18" t="n">
        <f aca="false">Calculadora!$B$6+A14</f>
        <v>57</v>
      </c>
      <c r="C14" s="19" t="n">
        <f aca="false">A14*Calculadora!$B$12*Calculadora!$B$20</f>
        <v>477.34375</v>
      </c>
      <c r="D14" s="19" t="n">
        <f aca="false">Calculadora!$B$5+C14+Calculadora!$B$13</f>
        <v>2827.34375</v>
      </c>
      <c r="E14" s="19" t="n">
        <f aca="false">-D14*Calculadora!$B$9</f>
        <v>-339.28125</v>
      </c>
      <c r="F14" s="20" t="n">
        <f aca="false">D14+E14-Calculadora!$B$14</f>
        <v>2488.0625</v>
      </c>
    </row>
    <row r="15" customFormat="false" ht="15" hidden="false" customHeight="false" outlineLevel="0" collapsed="false">
      <c r="A15" s="17" t="n">
        <v>10</v>
      </c>
      <c r="B15" s="18" t="n">
        <f aca="false">Calculadora!$B$6+A15</f>
        <v>58</v>
      </c>
      <c r="C15" s="19" t="n">
        <f aca="false">A15*Calculadora!$B$12*Calculadora!$B$20</f>
        <v>530.381944444444</v>
      </c>
      <c r="D15" s="19" t="n">
        <f aca="false">Calculadora!$B$5+C15+Calculadora!$B$13</f>
        <v>2880.38194444444</v>
      </c>
      <c r="E15" s="19" t="n">
        <f aca="false">-D15*Calculadora!$B$9</f>
        <v>-345.645833333333</v>
      </c>
      <c r="F15" s="20" t="n">
        <f aca="false">D15+E15-Calculadora!$B$14</f>
        <v>2534.73611111111</v>
      </c>
    </row>
    <row r="16" customFormat="false" ht="15" hidden="false" customHeight="false" outlineLevel="0" collapsed="false">
      <c r="A16" s="17" t="n">
        <v>11</v>
      </c>
      <c r="B16" s="18" t="n">
        <f aca="false">Calculadora!$B$6+A16</f>
        <v>59</v>
      </c>
      <c r="C16" s="19" t="n">
        <f aca="false">A16*Calculadora!$B$12*Calculadora!$B$20</f>
        <v>583.420138888889</v>
      </c>
      <c r="D16" s="19" t="n">
        <f aca="false">Calculadora!$B$5+C16+Calculadora!$B$13</f>
        <v>2933.42013888889</v>
      </c>
      <c r="E16" s="19" t="n">
        <f aca="false">-D16*Calculadora!$B$9</f>
        <v>-352.010416666667</v>
      </c>
      <c r="F16" s="20" t="n">
        <f aca="false">D16+E16-Calculadora!$B$14</f>
        <v>2581.40972222222</v>
      </c>
    </row>
    <row r="17" customFormat="false" ht="15" hidden="false" customHeight="false" outlineLevel="0" collapsed="false">
      <c r="A17" s="17" t="n">
        <v>12</v>
      </c>
      <c r="B17" s="18" t="n">
        <f aca="false">Calculadora!$B$6+A17</f>
        <v>60</v>
      </c>
      <c r="C17" s="19" t="n">
        <f aca="false">A17*Calculadora!$B$12*Calculadora!$B$20</f>
        <v>636.458333333333</v>
      </c>
      <c r="D17" s="19" t="n">
        <f aca="false">Calculadora!$B$5+C17+Calculadora!$B$13</f>
        <v>2986.45833333333</v>
      </c>
      <c r="E17" s="19" t="n">
        <f aca="false">-D17*Calculadora!$B$9</f>
        <v>-358.375</v>
      </c>
      <c r="F17" s="20" t="n">
        <f aca="false">D17+E17-Calculadora!$B$14</f>
        <v>2628.08333333333</v>
      </c>
    </row>
    <row r="18" customFormat="false" ht="15" hidden="false" customHeight="false" outlineLevel="0" collapsed="false">
      <c r="A18" s="17" t="n">
        <v>13</v>
      </c>
      <c r="B18" s="18" t="n">
        <f aca="false">Calculadora!$B$6+A18</f>
        <v>61</v>
      </c>
      <c r="C18" s="19" t="n">
        <f aca="false">A18*Calculadora!$B$12*Calculadora!$B$20</f>
        <v>689.496527777778</v>
      </c>
      <c r="D18" s="19" t="n">
        <f aca="false">Calculadora!$B$5+C18+Calculadora!$B$13</f>
        <v>3039.49652777778</v>
      </c>
      <c r="E18" s="19" t="n">
        <f aca="false">-D18*Calculadora!$B$9</f>
        <v>-364.739583333333</v>
      </c>
      <c r="F18" s="20" t="n">
        <f aca="false">D18+E18-Calculadora!$B$14</f>
        <v>2674.75694444444</v>
      </c>
    </row>
    <row r="19" customFormat="false" ht="15" hidden="false" customHeight="false" outlineLevel="0" collapsed="false">
      <c r="A19" s="17" t="n">
        <v>14</v>
      </c>
      <c r="B19" s="18" t="n">
        <f aca="false">Calculadora!$B$6+A19</f>
        <v>62</v>
      </c>
      <c r="C19" s="19" t="n">
        <f aca="false">A19*Calculadora!$B$12*Calculadora!$B$20</f>
        <v>742.534722222222</v>
      </c>
      <c r="D19" s="19" t="n">
        <f aca="false">Calculadora!$B$5+C19+Calculadora!$B$13</f>
        <v>3092.53472222222</v>
      </c>
      <c r="E19" s="19" t="n">
        <f aca="false">-D19*Calculadora!$B$9</f>
        <v>-371.104166666667</v>
      </c>
      <c r="F19" s="20" t="n">
        <f aca="false">D19+E19-Calculadora!$B$14</f>
        <v>2721.43055555556</v>
      </c>
    </row>
    <row r="20" customFormat="false" ht="15" hidden="false" customHeight="false" outlineLevel="0" collapsed="false">
      <c r="A20" s="17" t="n">
        <v>15</v>
      </c>
      <c r="B20" s="18" t="n">
        <f aca="false">Calculadora!$B$6+A20</f>
        <v>63</v>
      </c>
      <c r="C20" s="19" t="n">
        <f aca="false">A20*Calculadora!$B$12*Calculadora!$B$20</f>
        <v>795.572916666667</v>
      </c>
      <c r="D20" s="19" t="n">
        <f aca="false">Calculadora!$B$5+C20+Calculadora!$B$13</f>
        <v>3145.57291666667</v>
      </c>
      <c r="E20" s="19" t="n">
        <f aca="false">-D20*Calculadora!$B$9</f>
        <v>-377.46875</v>
      </c>
      <c r="F20" s="20" t="n">
        <f aca="false">D20+E20-Calculadora!$B$14</f>
        <v>2768.10416666667</v>
      </c>
    </row>
    <row r="21" customFormat="false" ht="15" hidden="false" customHeight="false" outlineLevel="0" collapsed="false">
      <c r="A21" s="17" t="n">
        <v>16</v>
      </c>
      <c r="B21" s="18" t="n">
        <f aca="false">Calculadora!$B$6+A21</f>
        <v>64</v>
      </c>
      <c r="C21" s="19" t="n">
        <f aca="false">A21*Calculadora!$B$12*Calculadora!$B$20</f>
        <v>848.611111111111</v>
      </c>
      <c r="D21" s="19" t="n">
        <f aca="false">Calculadora!$B$5+C21+Calculadora!$B$13</f>
        <v>3198.61111111111</v>
      </c>
      <c r="E21" s="19" t="n">
        <f aca="false">-D21*Calculadora!$B$9</f>
        <v>-383.833333333333</v>
      </c>
      <c r="F21" s="20" t="n">
        <f aca="false">D21+E21-Calculadora!$B$14</f>
        <v>2814.77777777778</v>
      </c>
    </row>
    <row r="22" customFormat="false" ht="15" hidden="false" customHeight="false" outlineLevel="0" collapsed="false">
      <c r="A22" s="17" t="n">
        <v>17</v>
      </c>
      <c r="B22" s="18" t="n">
        <f aca="false">Calculadora!$B$6+A22</f>
        <v>65</v>
      </c>
      <c r="C22" s="19" t="n">
        <f aca="false">A22*Calculadora!$B$12*Calculadora!$B$20</f>
        <v>901.649305555555</v>
      </c>
      <c r="D22" s="19" t="n">
        <f aca="false">Calculadora!$B$5+C22+Calculadora!$B$13</f>
        <v>3251.64930555556</v>
      </c>
      <c r="E22" s="19" t="n">
        <f aca="false">-D22*Calculadora!$B$9</f>
        <v>-390.197916666667</v>
      </c>
      <c r="F22" s="20" t="n">
        <f aca="false">D22+E22-Calculadora!$B$14</f>
        <v>2861.45138888889</v>
      </c>
    </row>
    <row r="23" customFormat="false" ht="15" hidden="false" customHeight="false" outlineLevel="0" collapsed="false">
      <c r="A23" s="17" t="n">
        <v>18</v>
      </c>
      <c r="B23" s="18" t="n">
        <f aca="false">Calculadora!$B$6+A23</f>
        <v>66</v>
      </c>
      <c r="C23" s="19" t="n">
        <f aca="false">A23*Calculadora!$B$12*Calculadora!$B$20</f>
        <v>954.6875</v>
      </c>
      <c r="D23" s="19" t="n">
        <f aca="false">Calculadora!$B$5+C23+Calculadora!$B$13</f>
        <v>3304.6875</v>
      </c>
      <c r="E23" s="19" t="n">
        <f aca="false">-D23*Calculadora!$B$9</f>
        <v>-396.5625</v>
      </c>
      <c r="F23" s="20" t="n">
        <f aca="false">D23+E23-Calculadora!$B$14</f>
        <v>2908.125</v>
      </c>
    </row>
    <row r="24" customFormat="false" ht="15" hidden="false" customHeight="false" outlineLevel="0" collapsed="false">
      <c r="A24" s="17" t="n">
        <v>19</v>
      </c>
      <c r="B24" s="18" t="n">
        <f aca="false">Calculadora!$B$6+A24</f>
        <v>67</v>
      </c>
      <c r="C24" s="19" t="n">
        <f aca="false">A24*Calculadora!$B$12*Calculadora!$B$20</f>
        <v>1007.72569444444</v>
      </c>
      <c r="D24" s="19" t="n">
        <f aca="false">Calculadora!$B$5+C24+Calculadora!$B$13</f>
        <v>3357.72569444444</v>
      </c>
      <c r="E24" s="19" t="n">
        <f aca="false">-D24*Calculadora!$B$9</f>
        <v>-402.927083333333</v>
      </c>
      <c r="F24" s="20" t="n">
        <f aca="false">D24+E24-Calculadora!$B$14</f>
        <v>2954.79861111111</v>
      </c>
    </row>
    <row r="25" customFormat="false" ht="15" hidden="false" customHeight="false" outlineLevel="0" collapsed="false">
      <c r="A25" s="17" t="n">
        <v>20</v>
      </c>
      <c r="B25" s="18" t="n">
        <f aca="false">Calculadora!$B$6+A25</f>
        <v>68</v>
      </c>
      <c r="C25" s="19" t="n">
        <f aca="false">A25*Calculadora!$B$12*Calculadora!$B$20</f>
        <v>1060.76388888889</v>
      </c>
      <c r="D25" s="19" t="n">
        <f aca="false">Calculadora!$B$5+C25+Calculadora!$B$13</f>
        <v>3410.76388888889</v>
      </c>
      <c r="E25" s="19" t="n">
        <f aca="false">-D25*Calculadora!$B$9</f>
        <v>-409.291666666667</v>
      </c>
      <c r="F25" s="20" t="n">
        <f aca="false">D25+E25-Calculadora!$B$14</f>
        <v>3001.47222222222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2026-10-26T23:01:07Z</dcterms:created>
  <dc:creator>openpyxl</dc:creator>
  <dc:description/>
  <dc:language>en-US</dc:language>
  <cp:lastModifiedBy/>
  <dcterms:modified xsi:type="dcterms:W3CDTF">2026-10-26T23:01:07Z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